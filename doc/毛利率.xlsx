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cheng\Desktop\"/>
    </mc:Choice>
  </mc:AlternateContent>
  <xr:revisionPtr revIDLastSave="0" documentId="13_ncr:1_{86EC5273-9E27-4666-BDFC-E90998168A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" i="1"/>
</calcChain>
</file>

<file path=xl/sharedStrings.xml><?xml version="1.0" encoding="utf-8"?>
<sst xmlns="http://schemas.openxmlformats.org/spreadsheetml/2006/main" count="33" uniqueCount="32">
  <si>
    <t>土著黄公鸡（未开膛）</t>
  </si>
  <si>
    <t>土著黄母鸡（未开膛）</t>
  </si>
  <si>
    <t>土黑母鸡（未开膛）</t>
  </si>
  <si>
    <t>土黑母鸡（已开膛）</t>
  </si>
  <si>
    <t>青脚母鸡（未开膛）</t>
  </si>
  <si>
    <t>麻母鸡（已开膛）</t>
  </si>
  <si>
    <t>麻公鸡（未开膛）</t>
  </si>
  <si>
    <t>老母鸡（未开膛）</t>
  </si>
  <si>
    <t>老母鸡（已开膛）</t>
  </si>
  <si>
    <t>童子鸡（已开膛）</t>
  </si>
  <si>
    <t>童子鸡（未开膛）</t>
  </si>
  <si>
    <t>丝乌鸡（未开膛）</t>
  </si>
  <si>
    <t>丝乌鸡（已开膛）</t>
  </si>
  <si>
    <t>杂鸡</t>
  </si>
  <si>
    <t>剁鸡</t>
  </si>
  <si>
    <t>仔水鸭（已开膛）</t>
  </si>
  <si>
    <t>鸡爪</t>
  </si>
  <si>
    <t>鸡胸肉</t>
  </si>
  <si>
    <t>鸡翅中</t>
  </si>
  <si>
    <t>鸡翅根</t>
  </si>
  <si>
    <t>鸡小腿</t>
  </si>
  <si>
    <t>SPU</t>
    <phoneticPr fontId="1" type="noConversion"/>
  </si>
  <si>
    <t>商品名称</t>
    <phoneticPr fontId="1" type="noConversion"/>
  </si>
  <si>
    <t>订单总金额</t>
    <phoneticPr fontId="1" type="noConversion"/>
  </si>
  <si>
    <t>入库总数量</t>
    <phoneticPr fontId="1" type="noConversion"/>
  </si>
  <si>
    <t>分拣总重量</t>
    <phoneticPr fontId="1" type="noConversion"/>
  </si>
  <si>
    <t>分拣总只数</t>
    <phoneticPr fontId="1" type="noConversion"/>
  </si>
  <si>
    <t>入库总只数</t>
    <phoneticPr fontId="1" type="noConversion"/>
  </si>
  <si>
    <t>入库金额</t>
    <phoneticPr fontId="1" type="noConversion"/>
  </si>
  <si>
    <t>入库总金额</t>
    <phoneticPr fontId="1" type="noConversion"/>
  </si>
  <si>
    <t>成本价</t>
    <phoneticPr fontId="1" type="noConversion"/>
  </si>
  <si>
    <t>毛利率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</si>
</sst>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E4" sqref="E4"/>
    </sheetView>
  </sheetViews>
  <sheetFormatPr defaultRowHeight="13.8" x14ac:dyDescent="0.25"/>
  <cols>
    <col min="1" max="2" width="24.21875" customWidth="1"/>
    <col min="3" max="7" width="11.6640625" bestFit="1" customWidth="1"/>
    <col min="8" max="8" width="9.5546875" bestFit="1" customWidth="1"/>
    <col min="9" max="9" width="11.6640625" bestFit="1" customWidth="1"/>
    <col min="10" max="10" width="15.44140625" customWidth="1"/>
  </cols>
  <sheetData>
    <row r="1" spans="1:12" x14ac:dyDescent="0.25">
      <c r="A1" t="s">
        <v>21</v>
      </c>
      <c r="B1" t="s">
        <v>22</v>
      </c>
      <c r="C1" t="s">
        <v>25</v>
      </c>
      <c r="D1" t="s">
        <v>26</v>
      </c>
      <c r="E1" t="s">
        <v>23</v>
      </c>
      <c r="F1" t="s">
        <v>24</v>
      </c>
      <c r="G1" t="s">
        <v>27</v>
      </c>
      <c r="H1" t="s">
        <v>28</v>
      </c>
      <c r="I1" t="s">
        <v>29</v>
      </c>
      <c r="J1" s="2" t="s">
        <v>30</v>
      </c>
      <c r="K1" s="2" t="s">
        <v>28</v>
      </c>
      <c r="L1" t="s">
        <v>31</v>
      </c>
    </row>
    <row r="2" spans="1:12" x14ac:dyDescent="0.25">
      <c r="A2" s="1">
        <v>50401010001</v>
      </c>
      <c r="B2" t="s">
        <v>0</v>
      </c>
      <c r="C2">
        <v>2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C2*J2</f>
        <v>0</v>
      </c>
      <c r="L2">
        <f>E2-K2</f>
        <v>0</v>
      </c>
    </row>
    <row r="3" spans="1:12" x14ac:dyDescent="0.25">
      <c r="A3" s="1">
        <v>50401010003</v>
      </c>
      <c r="B3" t="s">
        <v>1</v>
      </c>
      <c r="C3">
        <v>103.7</v>
      </c>
      <c r="D3">
        <v>89</v>
      </c>
      <c r="E3">
        <v>1887.34</v>
      </c>
      <c r="F3">
        <v>141.5</v>
      </c>
      <c r="G3">
        <v>123</v>
      </c>
      <c r="H3">
        <v>17</v>
      </c>
      <c r="I3">
        <v>2405.5</v>
      </c>
      <c r="J3">
        <v>17</v>
      </c>
      <c r="K3">
        <f t="shared" ref="K3:K22" si="0">C3*J3</f>
        <v>1762.9</v>
      </c>
      <c r="L3">
        <f t="shared" ref="L3:L22" si="1">E3-K3</f>
        <v>124.43999999999983</v>
      </c>
    </row>
    <row r="4" spans="1:12" x14ac:dyDescent="0.25">
      <c r="A4" s="1">
        <v>50401010005</v>
      </c>
      <c r="B4" t="s">
        <v>2</v>
      </c>
      <c r="C4">
        <v>100.8</v>
      </c>
      <c r="D4">
        <v>11</v>
      </c>
      <c r="E4">
        <v>298.08</v>
      </c>
      <c r="F4">
        <v>140.9</v>
      </c>
      <c r="G4">
        <v>100</v>
      </c>
      <c r="H4">
        <v>16.32</v>
      </c>
      <c r="I4">
        <v>2386.4580000000001</v>
      </c>
      <c r="J4">
        <v>16.71</v>
      </c>
      <c r="K4">
        <f t="shared" si="0"/>
        <v>1684.3679999999999</v>
      </c>
      <c r="L4">
        <f t="shared" si="1"/>
        <v>-1386.288</v>
      </c>
    </row>
    <row r="5" spans="1:12" x14ac:dyDescent="0.25">
      <c r="A5" s="1">
        <v>50401010006</v>
      </c>
      <c r="B5" t="s">
        <v>3</v>
      </c>
      <c r="C5">
        <v>130.19999999999999</v>
      </c>
      <c r="D5">
        <v>97</v>
      </c>
      <c r="E5">
        <v>2852.64</v>
      </c>
      <c r="F5">
        <v>177.9</v>
      </c>
      <c r="G5">
        <v>115</v>
      </c>
      <c r="H5">
        <v>19.96</v>
      </c>
      <c r="I5">
        <v>3543.2339999999999</v>
      </c>
      <c r="J5">
        <v>19.93</v>
      </c>
      <c r="K5">
        <f t="shared" si="0"/>
        <v>2594.8859999999995</v>
      </c>
      <c r="L5">
        <f t="shared" si="1"/>
        <v>257.75400000000036</v>
      </c>
    </row>
    <row r="6" spans="1:12" x14ac:dyDescent="0.25">
      <c r="A6" s="1">
        <v>50401010011</v>
      </c>
      <c r="B6" t="s">
        <v>4</v>
      </c>
      <c r="C6">
        <v>17.600000000000001</v>
      </c>
      <c r="D6">
        <v>12</v>
      </c>
      <c r="E6">
        <v>302.72000000000003</v>
      </c>
      <c r="F6">
        <v>131.80000000000001</v>
      </c>
      <c r="G6">
        <v>91</v>
      </c>
      <c r="H6">
        <v>15.92</v>
      </c>
      <c r="I6">
        <v>2098.2559999999999</v>
      </c>
      <c r="J6">
        <v>15.92</v>
      </c>
      <c r="K6">
        <f t="shared" si="0"/>
        <v>280.19200000000001</v>
      </c>
      <c r="L6">
        <f t="shared" si="1"/>
        <v>22.52800000000002</v>
      </c>
    </row>
    <row r="7" spans="1:12" x14ac:dyDescent="0.25">
      <c r="A7" s="1">
        <v>50401010014</v>
      </c>
      <c r="B7" t="s">
        <v>5</v>
      </c>
      <c r="C7">
        <v>0</v>
      </c>
      <c r="D7">
        <v>0</v>
      </c>
      <c r="E7">
        <v>0</v>
      </c>
      <c r="F7">
        <v>431.5</v>
      </c>
      <c r="G7">
        <v>300</v>
      </c>
      <c r="H7">
        <v>15.3</v>
      </c>
      <c r="I7">
        <v>6601.95</v>
      </c>
      <c r="J7">
        <v>15.3</v>
      </c>
      <c r="K7">
        <f t="shared" si="0"/>
        <v>0</v>
      </c>
      <c r="L7">
        <f t="shared" si="1"/>
        <v>0</v>
      </c>
    </row>
    <row r="8" spans="1:12" x14ac:dyDescent="0.25">
      <c r="A8" s="1">
        <v>50401010016</v>
      </c>
      <c r="B8" t="s">
        <v>6</v>
      </c>
      <c r="C8">
        <v>0</v>
      </c>
      <c r="D8">
        <v>0</v>
      </c>
      <c r="E8">
        <v>0</v>
      </c>
      <c r="F8">
        <v>112.3</v>
      </c>
      <c r="G8">
        <v>59</v>
      </c>
      <c r="H8">
        <v>9.9</v>
      </c>
      <c r="I8">
        <v>1111.77</v>
      </c>
      <c r="J8">
        <v>9.9</v>
      </c>
      <c r="K8">
        <f t="shared" si="0"/>
        <v>0</v>
      </c>
      <c r="L8">
        <f t="shared" si="1"/>
        <v>0</v>
      </c>
    </row>
    <row r="9" spans="1:12" x14ac:dyDescent="0.25">
      <c r="A9" s="1">
        <v>50401010018</v>
      </c>
      <c r="B9" t="s">
        <v>7</v>
      </c>
      <c r="C9">
        <v>119.6</v>
      </c>
      <c r="D9">
        <v>67</v>
      </c>
      <c r="E9">
        <v>1650.48</v>
      </c>
      <c r="F9">
        <v>266.39999999999998</v>
      </c>
      <c r="G9">
        <v>97</v>
      </c>
      <c r="H9">
        <v>12.5</v>
      </c>
      <c r="I9">
        <v>3330</v>
      </c>
      <c r="J9">
        <v>12.5</v>
      </c>
      <c r="K9">
        <f t="shared" si="0"/>
        <v>1495</v>
      </c>
      <c r="L9">
        <f t="shared" si="1"/>
        <v>155.48000000000002</v>
      </c>
    </row>
    <row r="10" spans="1:12" x14ac:dyDescent="0.25">
      <c r="A10" s="1">
        <v>50401010019</v>
      </c>
      <c r="B10" t="s">
        <v>8</v>
      </c>
      <c r="C10">
        <v>104.5</v>
      </c>
      <c r="D10">
        <v>73</v>
      </c>
      <c r="E10">
        <v>1916.8</v>
      </c>
      <c r="F10">
        <v>476.4</v>
      </c>
      <c r="G10">
        <v>397</v>
      </c>
      <c r="H10">
        <v>15.02</v>
      </c>
      <c r="I10">
        <v>7155.5280000000002</v>
      </c>
      <c r="J10">
        <v>15.02</v>
      </c>
      <c r="K10">
        <f t="shared" si="0"/>
        <v>1569.59</v>
      </c>
      <c r="L10">
        <f t="shared" si="1"/>
        <v>347.21000000000004</v>
      </c>
    </row>
    <row r="11" spans="1:12" x14ac:dyDescent="0.25">
      <c r="A11" s="1">
        <v>50401010022</v>
      </c>
      <c r="B11" t="s">
        <v>9</v>
      </c>
      <c r="C11">
        <v>178.9</v>
      </c>
      <c r="D11">
        <v>118</v>
      </c>
      <c r="E11">
        <v>3077.08</v>
      </c>
      <c r="F11">
        <v>1564.2</v>
      </c>
      <c r="G11">
        <v>1040</v>
      </c>
      <c r="H11">
        <v>14.92</v>
      </c>
      <c r="I11">
        <v>23347.062000000002</v>
      </c>
      <c r="J11">
        <v>15.01</v>
      </c>
      <c r="K11">
        <f t="shared" si="0"/>
        <v>2685.2890000000002</v>
      </c>
      <c r="L11">
        <f t="shared" si="1"/>
        <v>391.79099999999971</v>
      </c>
    </row>
    <row r="12" spans="1:12" x14ac:dyDescent="0.25">
      <c r="A12" s="1">
        <v>50401010023</v>
      </c>
      <c r="B12" t="s">
        <v>10</v>
      </c>
      <c r="C12">
        <v>1968.51</v>
      </c>
      <c r="D12">
        <v>990</v>
      </c>
      <c r="E12">
        <v>24481.46</v>
      </c>
      <c r="F12">
        <v>5577.8</v>
      </c>
      <c r="G12">
        <v>3109</v>
      </c>
      <c r="H12">
        <v>12.04</v>
      </c>
      <c r="I12">
        <v>65825.212</v>
      </c>
      <c r="J12">
        <v>11.587999999999999</v>
      </c>
      <c r="K12">
        <f t="shared" si="0"/>
        <v>22811.093879999997</v>
      </c>
      <c r="L12">
        <f t="shared" si="1"/>
        <v>1670.3661200000024</v>
      </c>
    </row>
    <row r="13" spans="1:12" x14ac:dyDescent="0.25">
      <c r="A13" s="1">
        <v>50401010024</v>
      </c>
      <c r="B13" t="s">
        <v>11</v>
      </c>
      <c r="C13">
        <v>20.399999999999999</v>
      </c>
      <c r="D13">
        <v>14</v>
      </c>
      <c r="E13">
        <v>354.96</v>
      </c>
      <c r="F13">
        <v>298.39999999999998</v>
      </c>
      <c r="G13">
        <v>205</v>
      </c>
      <c r="H13">
        <v>15.17</v>
      </c>
      <c r="I13">
        <v>4624.0039999999999</v>
      </c>
      <c r="J13">
        <v>15.585000000000001</v>
      </c>
      <c r="K13">
        <f t="shared" si="0"/>
        <v>317.93399999999997</v>
      </c>
      <c r="L13">
        <f t="shared" si="1"/>
        <v>37.02600000000001</v>
      </c>
    </row>
    <row r="14" spans="1:12" x14ac:dyDescent="0.25">
      <c r="A14" s="1">
        <v>50401010025</v>
      </c>
      <c r="B14" t="s">
        <v>12</v>
      </c>
      <c r="C14">
        <v>6.5</v>
      </c>
      <c r="D14">
        <v>4</v>
      </c>
      <c r="E14">
        <v>128.69999999999999</v>
      </c>
      <c r="F14">
        <v>120.7</v>
      </c>
      <c r="G14">
        <v>83</v>
      </c>
      <c r="H14">
        <v>17.43</v>
      </c>
      <c r="I14">
        <v>2103.8009999999999</v>
      </c>
      <c r="J14">
        <v>17.43</v>
      </c>
      <c r="K14">
        <f t="shared" si="0"/>
        <v>113.295</v>
      </c>
      <c r="L14">
        <f t="shared" si="1"/>
        <v>15.404999999999987</v>
      </c>
    </row>
    <row r="15" spans="1:12" x14ac:dyDescent="0.25">
      <c r="A15" s="1">
        <v>50401010028</v>
      </c>
      <c r="B15" t="s">
        <v>13</v>
      </c>
      <c r="C15">
        <v>1000.7</v>
      </c>
      <c r="D15">
        <v>829</v>
      </c>
      <c r="E15">
        <v>13833.6</v>
      </c>
      <c r="F15">
        <v>1082.5</v>
      </c>
      <c r="G15">
        <v>990</v>
      </c>
      <c r="H15">
        <v>7.32</v>
      </c>
      <c r="I15">
        <v>7923.9</v>
      </c>
      <c r="J15">
        <v>7.32</v>
      </c>
      <c r="K15">
        <f t="shared" si="0"/>
        <v>7325.1240000000007</v>
      </c>
      <c r="L15">
        <f t="shared" si="1"/>
        <v>6508.4759999999997</v>
      </c>
    </row>
    <row r="16" spans="1:12" x14ac:dyDescent="0.25">
      <c r="A16" s="1">
        <v>50401010029</v>
      </c>
      <c r="B16" t="s">
        <v>14</v>
      </c>
      <c r="C16">
        <v>0</v>
      </c>
      <c r="D16">
        <v>0</v>
      </c>
      <c r="E16">
        <v>0</v>
      </c>
      <c r="F16">
        <v>1000</v>
      </c>
      <c r="G16">
        <v>1000</v>
      </c>
      <c r="H16">
        <v>10.4</v>
      </c>
      <c r="I16">
        <v>10400</v>
      </c>
      <c r="J16">
        <v>10.4</v>
      </c>
      <c r="K16">
        <f t="shared" si="0"/>
        <v>0</v>
      </c>
      <c r="L16">
        <f t="shared" si="1"/>
        <v>0</v>
      </c>
    </row>
    <row r="17" spans="1:12" x14ac:dyDescent="0.25">
      <c r="A17" s="1">
        <v>50401020002</v>
      </c>
      <c r="B17" t="s">
        <v>15</v>
      </c>
      <c r="C17">
        <v>787.45</v>
      </c>
      <c r="D17">
        <v>344</v>
      </c>
      <c r="E17">
        <v>8316.24</v>
      </c>
      <c r="F17">
        <v>956.7</v>
      </c>
      <c r="G17">
        <v>481</v>
      </c>
      <c r="H17">
        <v>9.5</v>
      </c>
      <c r="I17">
        <v>8619.8700000000008</v>
      </c>
      <c r="J17">
        <v>9.3000000000000007</v>
      </c>
      <c r="K17">
        <f t="shared" si="0"/>
        <v>7323.2850000000008</v>
      </c>
      <c r="L17">
        <f t="shared" si="1"/>
        <v>992.95499999999902</v>
      </c>
    </row>
    <row r="18" spans="1:12" x14ac:dyDescent="0.25">
      <c r="A18" s="1">
        <v>504030021</v>
      </c>
      <c r="B18" t="s">
        <v>16</v>
      </c>
      <c r="C18">
        <v>0</v>
      </c>
      <c r="D18">
        <v>0</v>
      </c>
      <c r="E18">
        <v>0</v>
      </c>
      <c r="F18">
        <v>1000</v>
      </c>
      <c r="G18">
        <v>0</v>
      </c>
      <c r="H18">
        <v>24.66</v>
      </c>
      <c r="I18">
        <v>24660</v>
      </c>
      <c r="J18">
        <v>24.66</v>
      </c>
      <c r="K18">
        <f t="shared" si="0"/>
        <v>0</v>
      </c>
      <c r="L18">
        <f t="shared" si="1"/>
        <v>0</v>
      </c>
    </row>
    <row r="19" spans="1:12" x14ac:dyDescent="0.25">
      <c r="A19" s="1">
        <v>504030023</v>
      </c>
      <c r="B19" t="s">
        <v>17</v>
      </c>
      <c r="C19">
        <v>0</v>
      </c>
      <c r="D19">
        <v>0</v>
      </c>
      <c r="E19">
        <v>0</v>
      </c>
      <c r="F19">
        <v>1000</v>
      </c>
      <c r="G19">
        <v>0</v>
      </c>
      <c r="H19">
        <v>12.97</v>
      </c>
      <c r="I19">
        <v>12970</v>
      </c>
      <c r="J19">
        <v>12.97</v>
      </c>
      <c r="K19">
        <f t="shared" si="0"/>
        <v>0</v>
      </c>
      <c r="L19">
        <f t="shared" si="1"/>
        <v>0</v>
      </c>
    </row>
    <row r="20" spans="1:12" x14ac:dyDescent="0.25">
      <c r="A20" s="1">
        <v>504030027</v>
      </c>
      <c r="B20" t="s">
        <v>18</v>
      </c>
      <c r="C20">
        <v>0</v>
      </c>
      <c r="D20">
        <v>0</v>
      </c>
      <c r="E20">
        <v>0</v>
      </c>
      <c r="F20">
        <v>1000</v>
      </c>
      <c r="G20">
        <v>0</v>
      </c>
      <c r="H20">
        <v>20</v>
      </c>
      <c r="I20">
        <v>20000</v>
      </c>
      <c r="J20">
        <v>20</v>
      </c>
      <c r="K20">
        <f t="shared" si="0"/>
        <v>0</v>
      </c>
      <c r="L20">
        <f t="shared" si="1"/>
        <v>0</v>
      </c>
    </row>
    <row r="21" spans="1:12" x14ac:dyDescent="0.25">
      <c r="A21" s="1">
        <v>504030028</v>
      </c>
      <c r="B21" t="s">
        <v>19</v>
      </c>
      <c r="C21">
        <v>0</v>
      </c>
      <c r="D21">
        <v>0</v>
      </c>
      <c r="E21">
        <v>0</v>
      </c>
      <c r="F21">
        <v>1000</v>
      </c>
      <c r="G21">
        <v>0</v>
      </c>
      <c r="H21">
        <v>9.52</v>
      </c>
      <c r="I21">
        <v>9520</v>
      </c>
      <c r="J21">
        <v>9.52</v>
      </c>
      <c r="K21">
        <f t="shared" si="0"/>
        <v>0</v>
      </c>
      <c r="L21">
        <f t="shared" si="1"/>
        <v>0</v>
      </c>
    </row>
    <row r="22" spans="1:12" x14ac:dyDescent="0.25">
      <c r="A22" s="1">
        <v>504030030</v>
      </c>
      <c r="B22" t="s">
        <v>20</v>
      </c>
      <c r="C22">
        <v>0</v>
      </c>
      <c r="D22">
        <v>0</v>
      </c>
      <c r="E22">
        <v>0</v>
      </c>
      <c r="F22">
        <v>1000</v>
      </c>
      <c r="G22">
        <v>0</v>
      </c>
      <c r="H22">
        <v>14.09</v>
      </c>
      <c r="I22">
        <v>14090</v>
      </c>
      <c r="J22">
        <v>14.09</v>
      </c>
      <c r="K22">
        <f t="shared" si="0"/>
        <v>0</v>
      </c>
      <c r="L22">
        <f t="shared" si="1"/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</dc:creator>
  <cp:lastModifiedBy>gm c</cp:lastModifiedBy>
  <dcterms:created xsi:type="dcterms:W3CDTF">2015-06-05T18:19:34Z</dcterms:created>
  <dcterms:modified xsi:type="dcterms:W3CDTF">2021-09-17T15:47:59Z</dcterms:modified>
</cp:coreProperties>
</file>